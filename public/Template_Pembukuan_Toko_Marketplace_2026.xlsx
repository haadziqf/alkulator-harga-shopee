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 Laba Rugi" sheetId="1" state="visible" r:id="rId1"/>
    <sheet name="🛒 Rekap Penjualan" sheetId="2" state="visible" r:id="rId2"/>
    <sheet name="📦 Database Stok &amp; HPP" sheetId="3" state="visible" r:id="rId3"/>
    <sheet name="💸 Pengelua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1512"/>
      <sz val="16"/>
    </font>
    <font>
      <name val="Calibri"/>
      <i val="1"/>
      <color rgb="006E5E57"/>
      <sz val="11"/>
    </font>
    <font>
      <name val="Calibri"/>
      <b val="1"/>
      <color rgb="00FFFFFF"/>
      <sz val="11"/>
    </font>
    <font>
      <name val="Calibri"/>
      <b val="1"/>
      <color rgb="0078350F"/>
      <sz val="12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1512"/>
        <bgColor rgb="001E1512"/>
      </patternFill>
    </fill>
    <fill>
      <patternFill patternType="solid">
        <fgColor rgb="00FEF3C7"/>
        <bgColor rgb="00FEF3C7"/>
      </patternFill>
    </fill>
    <fill>
      <patternFill patternType="solid">
        <fgColor rgb="00EE4D2D"/>
        <bgColor rgb="00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8" customWidth="1" min="1" max="1"/>
    <col width="28" customWidth="1" min="2" max="2"/>
    <col width="18" customWidth="1" min="3" max="3"/>
    <col width="53" customWidth="1" min="4" max="4"/>
  </cols>
  <sheetData>
    <row r="1">
      <c r="A1" s="1" t="inlineStr">
        <is>
          <t>LAPORAN LABA RUGI PENJUALAN MARKETPLACE 2026</t>
        </is>
      </c>
    </row>
    <row r="2">
      <c r="A2" s="2" t="inlineStr">
        <is>
          <t>Template Otomatis Pembukuan Toko Shopee, Tokopedia &amp; TikTok Shop</t>
        </is>
      </c>
    </row>
    <row r="3"/>
    <row r="4">
      <c r="A4" s="3" t="inlineStr">
        <is>
          <t>Komponen Finansial</t>
        </is>
      </c>
      <c r="B4" s="3" t="inlineStr">
        <is>
          <t>Nilai (Rp)</t>
        </is>
      </c>
      <c r="C4" s="3" t="inlineStr">
        <is>
          <t>Persentase (%)</t>
        </is>
      </c>
      <c r="D4" s="3" t="inlineStr">
        <is>
          <t>Keterangan</t>
        </is>
      </c>
    </row>
    <row r="5">
      <c r="A5" t="inlineStr">
        <is>
          <t>Total Omzet Penjualan Kotor (Gross Sales)</t>
        </is>
      </c>
      <c r="B5" s="4">
        <f>'🛒 Rekap Penjualan'!G20</f>
        <v/>
      </c>
      <c r="C5" s="5">
        <f>B5/B5</f>
        <v/>
      </c>
      <c r="D5" t="inlineStr">
        <is>
          <t>Total nilai transaksi penjualan sebelum potongan</t>
        </is>
      </c>
    </row>
    <row r="6">
      <c r="A6" t="inlineStr">
        <is>
          <t>Total Potongan Komisi Marketplace</t>
        </is>
      </c>
      <c r="B6" s="4">
        <f>'🛒 Rekap Penjualan'!H20</f>
        <v/>
      </c>
      <c r="C6" s="5">
        <f>B6/B5</f>
        <v/>
      </c>
      <c r="D6" t="inlineStr">
        <is>
          <t>Potongan admin, gratis ongkir &amp; promo marketplace</t>
        </is>
      </c>
    </row>
    <row r="7">
      <c r="A7" t="inlineStr">
        <is>
          <t>Total Uang Bersih Diterima (Net Revenue)</t>
        </is>
      </c>
      <c r="B7" s="4">
        <f>B5-B6</f>
        <v/>
      </c>
      <c r="C7" s="5">
        <f>B7/B5</f>
        <v/>
      </c>
      <c r="D7" t="inlineStr">
        <is>
          <t>Saldo bersih masuk ke rekening/saldo penjual</t>
        </is>
      </c>
    </row>
    <row r="8">
      <c r="A8" t="inlineStr">
        <is>
          <t>Total HPP / Modal Produk</t>
        </is>
      </c>
      <c r="B8" s="4">
        <f>'🛒 Rekap Penjualan'!J20</f>
        <v/>
      </c>
      <c r="C8" s="5">
        <f>B8/B5</f>
        <v/>
      </c>
      <c r="D8" t="inlineStr">
        <is>
          <t>Total akumulasi modal beli/produksi barang</t>
        </is>
      </c>
    </row>
    <row r="9">
      <c r="A9" t="inlineStr">
        <is>
          <t>Total Biaya Packing</t>
        </is>
      </c>
      <c r="B9" s="4">
        <f>'🛒 Rekap Penjualan'!K20</f>
        <v/>
      </c>
      <c r="C9" s="5">
        <f>B9/B5</f>
        <v/>
      </c>
      <c r="D9" t="inlineStr">
        <is>
          <t>Total plastik polymailer, kardus, bubble wrap</t>
        </is>
      </c>
    </row>
    <row r="10">
      <c r="A10" t="inlineStr">
        <is>
          <t>Total Biaya Operasional &amp; Iklan (Ads)</t>
        </is>
      </c>
      <c r="B10" s="4">
        <f>'💸 Pengeluaran'!C20</f>
        <v/>
      </c>
      <c r="C10" s="5">
        <f>B10/B5</f>
        <v/>
      </c>
      <c r="D10" t="inlineStr">
        <is>
          <t>Pengeluaran iklan marketplace, gaji, software</t>
        </is>
      </c>
    </row>
    <row r="11">
      <c r="A11" s="6" t="inlineStr">
        <is>
          <t>TOTAL LABA BERSIH (NET PROFIT)</t>
        </is>
      </c>
      <c r="B11" s="7">
        <f>B7-B8-B9-B10</f>
        <v/>
      </c>
      <c r="C11" s="8">
        <f>B11/B5</f>
        <v/>
      </c>
      <c r="D11" s="6" t="inlineStr">
        <is>
          <t>Keuntungan bersih akhir yang didapatkan toko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28" customWidth="1" min="4" max="4"/>
    <col width="16" customWidth="1" min="5" max="5"/>
    <col width="19" customWidth="1" min="6" max="6"/>
    <col width="20" customWidth="1" min="7" max="7"/>
    <col width="27" customWidth="1" min="8" max="8"/>
    <col width="23" customWidth="1" min="9" max="9"/>
    <col width="18" customWidth="1" min="10" max="10"/>
    <col width="22" customWidth="1" min="11" max="11"/>
    <col width="22" customWidth="1" min="12" max="12"/>
  </cols>
  <sheetData>
    <row r="1">
      <c r="A1" s="9" t="inlineStr">
        <is>
          <t>Tanggal</t>
        </is>
      </c>
      <c r="B1" s="9" t="inlineStr">
        <is>
          <t>No. Pesanan</t>
        </is>
      </c>
      <c r="C1" s="9" t="inlineStr">
        <is>
          <t>Marketplace</t>
        </is>
      </c>
      <c r="D1" s="9" t="inlineStr">
        <is>
          <t>Nama Produk</t>
        </is>
      </c>
      <c r="E1" s="9" t="inlineStr">
        <is>
          <t>Qty</t>
        </is>
      </c>
      <c r="F1" s="9" t="inlineStr">
        <is>
          <t>Harga Jual (Rp)</t>
        </is>
      </c>
      <c r="G1" s="9" t="inlineStr">
        <is>
          <t>Total Omzet (Rp)</t>
        </is>
      </c>
      <c r="H1" s="9" t="inlineStr">
        <is>
          <t>Komisi Marketplace (Rp)</t>
        </is>
      </c>
      <c r="I1" s="9" t="inlineStr">
        <is>
          <t>Saldo Diterima (Rp)</t>
        </is>
      </c>
      <c r="J1" s="9" t="inlineStr">
        <is>
          <t>HPP Modal (Rp)</t>
        </is>
      </c>
      <c r="K1" s="9" t="inlineStr">
        <is>
          <t>Biaya Packing (Rp)</t>
        </is>
      </c>
      <c r="L1" s="9" t="inlineStr">
        <is>
          <t>Profit Bersih (Rp)</t>
        </is>
      </c>
    </row>
    <row r="2">
      <c r="A2" t="inlineStr">
        <is>
          <t>2026-07-01</t>
        </is>
      </c>
      <c r="B2" t="inlineStr">
        <is>
          <t>260701SHP001</t>
        </is>
      </c>
      <c r="C2" t="inlineStr">
        <is>
          <t>Shopee</t>
        </is>
      </c>
      <c r="D2" t="inlineStr">
        <is>
          <t>Kemeja Oversize Linen</t>
        </is>
      </c>
      <c r="E2" t="n">
        <v>1</v>
      </c>
      <c r="F2" s="4" t="n">
        <v>150000</v>
      </c>
      <c r="G2" s="4">
        <f>E2*F2</f>
        <v/>
      </c>
      <c r="H2" s="4" t="n">
        <v>21000</v>
      </c>
      <c r="I2" s="4">
        <f>G2-H2</f>
        <v/>
      </c>
      <c r="J2" s="4" t="n">
        <v>85000</v>
      </c>
      <c r="K2" s="4" t="n">
        <v>3000</v>
      </c>
      <c r="L2" s="4">
        <f>I2-J2-K2</f>
        <v/>
      </c>
    </row>
    <row r="3">
      <c r="A3" t="inlineStr">
        <is>
          <t>2026-07-01</t>
        </is>
      </c>
      <c r="B3" t="inlineStr">
        <is>
          <t>260701TKP002</t>
        </is>
      </c>
      <c r="C3" t="inlineStr">
        <is>
          <t>Tokopedia</t>
        </is>
      </c>
      <c r="D3" t="inlineStr">
        <is>
          <t>Celana Chino Slimfit</t>
        </is>
      </c>
      <c r="E3" t="n">
        <v>2</v>
      </c>
      <c r="F3" s="4" t="n">
        <v>180000</v>
      </c>
      <c r="G3" s="4">
        <f>E3*F3</f>
        <v/>
      </c>
      <c r="H3" s="4" t="n">
        <v>32400</v>
      </c>
      <c r="I3" s="4">
        <f>G3-H3</f>
        <v/>
      </c>
      <c r="J3" s="4" t="n">
        <v>200000</v>
      </c>
      <c r="K3" s="4" t="n">
        <v>5000</v>
      </c>
      <c r="L3" s="4">
        <f>I3-J3-K3</f>
        <v/>
      </c>
    </row>
    <row r="4">
      <c r="A4" t="inlineStr">
        <is>
          <t>2026-07-02</t>
        </is>
      </c>
      <c r="B4" t="inlineStr">
        <is>
          <t>260702TIK003</t>
        </is>
      </c>
      <c r="C4" t="inlineStr">
        <is>
          <t>TikTok Shop</t>
        </is>
      </c>
      <c r="D4" t="inlineStr">
        <is>
          <t>Kaos Polos Cotton Combed</t>
        </is>
      </c>
      <c r="E4" t="n">
        <v>3</v>
      </c>
      <c r="F4" s="4" t="n">
        <v>65000</v>
      </c>
      <c r="G4" s="4">
        <f>E4*F4</f>
        <v/>
      </c>
      <c r="H4" s="4" t="n">
        <v>22425</v>
      </c>
      <c r="I4" s="4">
        <f>G4-H4</f>
        <v/>
      </c>
      <c r="J4" s="4" t="n">
        <v>105000</v>
      </c>
      <c r="K4" s="4" t="n">
        <v>4500</v>
      </c>
      <c r="L4" s="4">
        <f>I4-J4-K4</f>
        <v/>
      </c>
    </row>
    <row r="5">
      <c r="A5" t="inlineStr">
        <is>
          <t>2026-07-02</t>
        </is>
      </c>
      <c r="B5" t="inlineStr">
        <is>
          <t>260702SHP004</t>
        </is>
      </c>
      <c r="C5" t="inlineStr">
        <is>
          <t>Shopee</t>
        </is>
      </c>
      <c r="D5" t="inlineStr">
        <is>
          <t>Jaket Varsity Vintage</t>
        </is>
      </c>
      <c r="E5" t="n">
        <v>1</v>
      </c>
      <c r="F5" s="4" t="n">
        <v>280000</v>
      </c>
      <c r="G5" s="4">
        <f>E5*F5</f>
        <v/>
      </c>
      <c r="H5" s="4" t="n">
        <v>39200</v>
      </c>
      <c r="I5" s="4">
        <f>G5-H5</f>
        <v/>
      </c>
      <c r="J5" s="4" t="n">
        <v>160000</v>
      </c>
      <c r="K5" s="4" t="n">
        <v>4000</v>
      </c>
      <c r="L5" s="4">
        <f>I5-J5-K5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s="10" t="inlineStr">
        <is>
          <t>TOTAL SUMMARY</t>
        </is>
      </c>
      <c r="E20" s="10">
        <f>SUM(E2:E19)</f>
        <v/>
      </c>
      <c r="F20" s="11">
        <f>SUM(F2:F19)</f>
        <v/>
      </c>
      <c r="G20" s="11">
        <f>SUM(G2:G19)</f>
        <v/>
      </c>
      <c r="H20" s="11">
        <f>SUM(H2:H19)</f>
        <v/>
      </c>
      <c r="I20" s="11">
        <f>SUM(I2:I19)</f>
        <v/>
      </c>
      <c r="J20" s="11">
        <f>SUM(J2:J19)</f>
        <v/>
      </c>
      <c r="K20" s="11">
        <f>SUM(K2:K19)</f>
        <v/>
      </c>
      <c r="L20" s="11">
        <f>SUM(L2:L19)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8" customWidth="1" min="4" max="4"/>
    <col width="22" customWidth="1" min="5" max="5"/>
    <col width="30" customWidth="1" min="6" max="6"/>
    <col width="15" customWidth="1" min="7" max="7"/>
    <col width="15" customWidth="1" min="8" max="8"/>
    <col width="15" customWidth="1" min="9" max="9"/>
    <col width="24" customWidth="1" min="10" max="10"/>
  </cols>
  <sheetData>
    <row r="1">
      <c r="A1" s="3" t="inlineStr">
        <is>
          <t>Kode SKU</t>
        </is>
      </c>
      <c r="B1" s="3" t="inlineStr">
        <is>
          <t>Nama Produk</t>
        </is>
      </c>
      <c r="C1" s="3" t="inlineStr">
        <is>
          <t>Kategori</t>
        </is>
      </c>
      <c r="D1" s="3" t="inlineStr">
        <is>
          <t>HPP Modal (Rp)</t>
        </is>
      </c>
      <c r="E1" s="3" t="inlineStr">
        <is>
          <t>Biaya Packing (Rp)</t>
        </is>
      </c>
      <c r="F1" s="3" t="inlineStr">
        <is>
          <t>Harga Jual Disarankan (Rp)</t>
        </is>
      </c>
      <c r="G1" s="3" t="inlineStr">
        <is>
          <t>Stok Awal</t>
        </is>
      </c>
      <c r="H1" s="3" t="inlineStr">
        <is>
          <t>Terjual</t>
        </is>
      </c>
      <c r="I1" s="3" t="inlineStr">
        <is>
          <t>Sisa Stok</t>
        </is>
      </c>
      <c r="J1" s="3" t="inlineStr">
        <is>
          <t>Nilai Aset Stok (Rp)</t>
        </is>
      </c>
    </row>
    <row r="2">
      <c r="A2" t="inlineStr">
        <is>
          <t>SKU-FSH-001</t>
        </is>
      </c>
      <c r="B2" t="inlineStr">
        <is>
          <t>Kemeja Oversize Linen</t>
        </is>
      </c>
      <c r="C2" t="inlineStr">
        <is>
          <t>Fashion</t>
        </is>
      </c>
      <c r="D2" s="4" t="n">
        <v>85000</v>
      </c>
      <c r="E2" s="4" t="n">
        <v>3000</v>
      </c>
      <c r="F2" s="4" t="n">
        <v>150000</v>
      </c>
      <c r="G2" t="n">
        <v>100</v>
      </c>
      <c r="H2" t="n">
        <v>15</v>
      </c>
      <c r="I2">
        <f>G2-H2</f>
        <v/>
      </c>
      <c r="J2" s="4">
        <f>I2*D2</f>
        <v/>
      </c>
    </row>
    <row r="3">
      <c r="A3" t="inlineStr">
        <is>
          <t>SKU-FSH-002</t>
        </is>
      </c>
      <c r="B3" t="inlineStr">
        <is>
          <t>Celana Chino Slimfit</t>
        </is>
      </c>
      <c r="C3" t="inlineStr">
        <is>
          <t>Fashion</t>
        </is>
      </c>
      <c r="D3" s="4" t="n">
        <v>100000</v>
      </c>
      <c r="E3" s="4" t="n">
        <v>2500</v>
      </c>
      <c r="F3" s="4" t="n">
        <v>180000</v>
      </c>
      <c r="G3" t="n">
        <v>80</v>
      </c>
      <c r="H3" t="n">
        <v>22</v>
      </c>
      <c r="I3">
        <f>G3-H3</f>
        <v/>
      </c>
      <c r="J3" s="4">
        <f>I3*D3</f>
        <v/>
      </c>
    </row>
    <row r="4">
      <c r="A4" t="inlineStr">
        <is>
          <t>SKU-FSH-003</t>
        </is>
      </c>
      <c r="B4" t="inlineStr">
        <is>
          <t>Kaos Polos Cotton Combed</t>
        </is>
      </c>
      <c r="C4" t="inlineStr">
        <is>
          <t>Fashion</t>
        </is>
      </c>
      <c r="D4" s="4" t="n">
        <v>35000</v>
      </c>
      <c r="E4" s="4" t="n">
        <v>1500</v>
      </c>
      <c r="F4" s="4" t="n">
        <v>65000</v>
      </c>
      <c r="G4" t="n">
        <v>200</v>
      </c>
      <c r="H4" t="n">
        <v>45</v>
      </c>
      <c r="I4">
        <f>G4-H4</f>
        <v/>
      </c>
      <c r="J4" s="4">
        <f>I4*D4</f>
        <v/>
      </c>
    </row>
    <row r="5">
      <c r="A5" t="inlineStr">
        <is>
          <t>SKU-FSH-004</t>
        </is>
      </c>
      <c r="B5" t="inlineStr">
        <is>
          <t>Jaket Varsity Vintage</t>
        </is>
      </c>
      <c r="C5" t="inlineStr">
        <is>
          <t>Fashion</t>
        </is>
      </c>
      <c r="D5" s="4" t="n">
        <v>160000</v>
      </c>
      <c r="E5" s="4" t="n">
        <v>4000</v>
      </c>
      <c r="F5" s="4" t="n">
        <v>280000</v>
      </c>
      <c r="G5" t="n">
        <v>50</v>
      </c>
      <c r="H5" t="n">
        <v>8</v>
      </c>
      <c r="I5">
        <f>G5-H5</f>
        <v/>
      </c>
      <c r="J5" s="4">
        <f>I5*D5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28" customWidth="1" min="3" max="3"/>
    <col width="35" customWidth="1" min="4" max="4"/>
  </cols>
  <sheetData>
    <row r="1">
      <c r="A1" s="3" t="inlineStr">
        <is>
          <t>Tanggal</t>
        </is>
      </c>
      <c r="B1" s="3" t="inlineStr">
        <is>
          <t>Kategori Pengeluaran</t>
        </is>
      </c>
      <c r="C1" s="3" t="inlineStr">
        <is>
          <t>Nominal Pengeluaran (Rp)</t>
        </is>
      </c>
      <c r="D1" s="3" t="inlineStr">
        <is>
          <t>Keterangan / Catatan</t>
        </is>
      </c>
    </row>
    <row r="2">
      <c r="A2" t="inlineStr">
        <is>
          <t>2026-07-01</t>
        </is>
      </c>
      <c r="B2" t="inlineStr">
        <is>
          <t>Iklan Shopee Ads</t>
        </is>
      </c>
      <c r="C2" s="4" t="n">
        <v>150000</v>
      </c>
      <c r="D2" t="inlineStr">
        <is>
          <t>Top-up saldo iklan Shopee</t>
        </is>
      </c>
    </row>
    <row r="3">
      <c r="A3" t="inlineStr">
        <is>
          <t>2026-07-02</t>
        </is>
      </c>
      <c r="B3" t="inlineStr">
        <is>
          <t>Iklan TikTok Shop (GMV Max)</t>
        </is>
      </c>
      <c r="C3" s="4" t="n">
        <v>200000</v>
      </c>
      <c r="D3" t="inlineStr">
        <is>
          <t>Kempen promosi tanggal kembar</t>
        </is>
      </c>
    </row>
    <row r="4">
      <c r="A4" t="inlineStr">
        <is>
          <t>2026-07-03</t>
        </is>
      </c>
      <c r="B4" t="inlineStr">
        <is>
          <t>Bahan Packing (Plastik Polymailer)</t>
        </is>
      </c>
      <c r="C4" s="4" t="n">
        <v>85000</v>
      </c>
      <c r="D4" t="inlineStr">
        <is>
          <t>Beli 100 pcs plastik ukuran L</t>
        </is>
      </c>
    </row>
    <row r="5">
      <c r="A5" t="inlineStr">
        <is>
          <t>2026-07-05</t>
        </is>
      </c>
      <c r="B5" t="inlineStr">
        <is>
          <t>Gaji Admin Packing</t>
        </is>
      </c>
      <c r="C5" s="4" t="n">
        <v>500000</v>
      </c>
      <c r="D5" t="inlineStr">
        <is>
          <t>Uang harian tim packing pesanan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s="10" t="inlineStr">
        <is>
          <t>TOTAL PENGELUARAN</t>
        </is>
      </c>
      <c r="C20" s="11">
        <f>SUM(C2:C19)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2026-07-28T08:28:25Z</dcterms:created>
  <dcterms:modified xsi:type="dcterms:W3CDTF">2026-07-28T08:28:25Z</dcterms:modified>
</cp:coreProperties>
</file>